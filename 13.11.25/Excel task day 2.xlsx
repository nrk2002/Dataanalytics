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activeTab="1"/>
  </bookViews>
  <sheets>
    <sheet name="Task 1" sheetId="1" r:id="rId1"/>
    <sheet name="Task 2" sheetId="2" r:id="rId2"/>
    <sheet name="Task 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<sst xmlns="http://schemas.openxmlformats.org/spreadsheetml/2006/main" count="242" uniqueCount="171">
  <si>
    <t>A: Employee</t>
  </si>
  <si>
    <t>B: Department</t>
  </si>
  <si>
    <t>C: Region</t>
  </si>
  <si>
    <t>D: Sales (₹)</t>
  </si>
  <si>
    <t>E: Target (₹)</t>
  </si>
  <si>
    <t>F: Achieved %</t>
  </si>
  <si>
    <t>G: Attendance %</t>
  </si>
  <si>
    <t>Indhu</t>
  </si>
  <si>
    <t>Sales</t>
  </si>
  <si>
    <t>South</t>
  </si>
  <si>
    <t>Ramesh</t>
  </si>
  <si>
    <t>North</t>
  </si>
  <si>
    <t>Priya</t>
  </si>
  <si>
    <t>HR</t>
  </si>
  <si>
    <t>Karthik</t>
  </si>
  <si>
    <t>IT</t>
  </si>
  <si>
    <t>East</t>
  </si>
  <si>
    <t>Divya</t>
  </si>
  <si>
    <t>West</t>
  </si>
  <si>
    <t>Meena</t>
  </si>
  <si>
    <t>Suresh</t>
  </si>
  <si>
    <t>Arun</t>
  </si>
  <si>
    <t>Keerthi</t>
  </si>
  <si>
    <t>Vignesh</t>
  </si>
  <si>
    <t>#</t>
  </si>
  <si>
    <t>Task</t>
  </si>
  <si>
    <t>Answer</t>
  </si>
  <si>
    <t>Total Sales</t>
  </si>
  <si>
    <t>Average Sales</t>
  </si>
  <si>
    <t>Highest Sale</t>
  </si>
  <si>
    <t>Lowest Sale</t>
  </si>
  <si>
    <t>Count Employees</t>
  </si>
  <si>
    <t>Count Sales Dept</t>
  </si>
  <si>
    <t>Count South Region</t>
  </si>
  <si>
    <t>Count Sales &gt; 80000</t>
  </si>
  <si>
    <t>Sum of Sales &gt; 80000</t>
  </si>
  <si>
    <t>Average Sales &gt; 80000</t>
  </si>
  <si>
    <t>Total Sales in South</t>
  </si>
  <si>
    <t>Avg Target for IT Dept</t>
  </si>
  <si>
    <t>Count of 100% Achieved</t>
  </si>
  <si>
    <t>Sum of HR Department Sales</t>
  </si>
  <si>
    <t>Avg Attendance</t>
  </si>
  <si>
    <t>Employees above 90% attendance</t>
  </si>
  <si>
    <t>Employees below target(100%)</t>
  </si>
  <si>
    <t>Employees meeting/exceeding target</t>
  </si>
  <si>
    <t>Total Target Amount</t>
  </si>
  <si>
    <t>Bonus Eligibility (&gt;100%)</t>
  </si>
  <si>
    <t>Attendance Warning(Less than 85)</t>
  </si>
  <si>
    <t>Achieved &gt;= Target AND Attendance &gt;=90 then Star Performer else Average</t>
  </si>
  <si>
    <t>Count Star Performers [based on previous Task]</t>
  </si>
  <si>
    <t>Average of South Region</t>
  </si>
  <si>
    <t>Total Sales for Each Department</t>
  </si>
  <si>
    <t>% Achievement</t>
  </si>
  <si>
    <t>2nd Highest Sales</t>
  </si>
  <si>
    <t>3rd Lowest Sales</t>
  </si>
  <si>
    <t>Count of Sales Between 50000–90000</t>
  </si>
  <si>
    <t>Sum Sales &gt;80K in South</t>
  </si>
  <si>
    <t>Avg Sales &lt; Target</t>
  </si>
  <si>
    <t>Count IT Dept with 90%+ Attendance</t>
  </si>
  <si>
    <t>Count Blank Cells</t>
  </si>
  <si>
    <t>Empty cell count</t>
  </si>
  <si>
    <t>Add Bonus 10% if Above Target</t>
  </si>
  <si>
    <t>Conditional calculation</t>
  </si>
  <si>
    <t>Product_ID</t>
  </si>
  <si>
    <t>Product_Name</t>
  </si>
  <si>
    <t>Category</t>
  </si>
  <si>
    <t>Unit_Price</t>
  </si>
  <si>
    <t>Quantity_Sold</t>
  </si>
  <si>
    <t>Discount_%</t>
  </si>
  <si>
    <t>Region</t>
  </si>
  <si>
    <t>Total revenue</t>
  </si>
  <si>
    <t>IF Unit Price&gt; 10000: Expensive or else it is budget</t>
  </si>
  <si>
    <t>IF Region is South Return" Zone A" else return "Other Zone"</t>
  </si>
  <si>
    <t>P101</t>
  </si>
  <si>
    <t>Laptop</t>
  </si>
  <si>
    <t>Electronics</t>
  </si>
  <si>
    <t>P102</t>
  </si>
  <si>
    <t>Mouse</t>
  </si>
  <si>
    <t>Accessories</t>
  </si>
  <si>
    <t>P103</t>
  </si>
  <si>
    <t>Keyboard</t>
  </si>
  <si>
    <t>P104</t>
  </si>
  <si>
    <t>Monitor</t>
  </si>
  <si>
    <t>P105</t>
  </si>
  <si>
    <t>Printer</t>
  </si>
  <si>
    <t>P106</t>
  </si>
  <si>
    <t>Scanner</t>
  </si>
  <si>
    <t>P107</t>
  </si>
  <si>
    <t>Tablet</t>
  </si>
  <si>
    <t>P108</t>
  </si>
  <si>
    <t>Speaker</t>
  </si>
  <si>
    <t>P109</t>
  </si>
  <si>
    <t>Camera</t>
  </si>
  <si>
    <t>P110</t>
  </si>
  <si>
    <t>Router</t>
  </si>
  <si>
    <t>Networking</t>
  </si>
  <si>
    <t>Total Quantity Sold</t>
  </si>
  <si>
    <t>Average Unit Price</t>
  </si>
  <si>
    <t>Highest Unit Price</t>
  </si>
  <si>
    <t>Lowest Unit Price</t>
  </si>
  <si>
    <t>Count of Products</t>
  </si>
  <si>
    <t>Count Accessories</t>
  </si>
  <si>
    <t>Sum of Electronics Prices</t>
  </si>
  <si>
    <t>Avg Discount of Electronics</t>
  </si>
  <si>
    <t>Count Items in South Region</t>
  </si>
  <si>
    <t>Total Quantity Sold in East</t>
  </si>
  <si>
    <t>Average Price &gt;10000</t>
  </si>
  <si>
    <t>Count Items &lt;10% Discount</t>
  </si>
  <si>
    <t>Total Revenue</t>
  </si>
  <si>
    <t>Count Products with Price&gt;10000 and Discount&lt;5</t>
  </si>
  <si>
    <t>Total Units Sold in Electronics (≥10% Discount)</t>
  </si>
  <si>
    <t>Average Price in South Region</t>
  </si>
  <si>
    <t>Count Accessories Sold ≥50 Units</t>
  </si>
  <si>
    <t>Customer_ID</t>
  </si>
  <si>
    <t>Customer_Name</t>
  </si>
  <si>
    <t>City</t>
  </si>
  <si>
    <t>Product_Category</t>
  </si>
  <si>
    <t>Purchase_Amount</t>
  </si>
  <si>
    <t>Purchase_Date</t>
  </si>
  <si>
    <t>CUST001</t>
  </si>
  <si>
    <t>Madurai</t>
  </si>
  <si>
    <t>Furniture</t>
  </si>
  <si>
    <t>CUST002</t>
  </si>
  <si>
    <t>Trichy</t>
  </si>
  <si>
    <t>Groceries</t>
  </si>
  <si>
    <t>CUST003</t>
  </si>
  <si>
    <t>Mani</t>
  </si>
  <si>
    <t>Chennai</t>
  </si>
  <si>
    <t>CUST004</t>
  </si>
  <si>
    <t>Clothing</t>
  </si>
  <si>
    <t>CUST005</t>
  </si>
  <si>
    <t>Ravi</t>
  </si>
  <si>
    <t>CUST006</t>
  </si>
  <si>
    <t>Nisha</t>
  </si>
  <si>
    <t>CUST007</t>
  </si>
  <si>
    <t>Vijay</t>
  </si>
  <si>
    <t>CUST008</t>
  </si>
  <si>
    <t>CUST009</t>
  </si>
  <si>
    <t>CUST010</t>
  </si>
  <si>
    <t>CUST011</t>
  </si>
  <si>
    <t>Anbu</t>
  </si>
  <si>
    <t>CUST012</t>
  </si>
  <si>
    <t>Deepa</t>
  </si>
  <si>
    <t>CUST013</t>
  </si>
  <si>
    <t>CUST014</t>
  </si>
  <si>
    <t>Sneha</t>
  </si>
  <si>
    <t>CUST015</t>
  </si>
  <si>
    <t>Rahul</t>
  </si>
  <si>
    <t>Total Purchase Amount</t>
  </si>
  <si>
    <t>Average Purchase Amount</t>
  </si>
  <si>
    <t>Highest Purchase Amount</t>
  </si>
  <si>
    <t>Lowest Purchase Amount</t>
  </si>
  <si>
    <t>Count of Customers</t>
  </si>
  <si>
    <t>Count of Chennai Customers</t>
  </si>
  <si>
    <t>Total Purchase from Madurai</t>
  </si>
  <si>
    <t>Avg Discount for Clothing</t>
  </si>
  <si>
    <t>Count Electronics Purchases</t>
  </si>
  <si>
    <t>Total Furniture Purchase</t>
  </si>
  <si>
    <t>Count &gt;15000 Purchase</t>
  </si>
  <si>
    <t>Avg Purchase &lt;10000</t>
  </si>
  <si>
    <t>Total Purchase with 10% Discount</t>
  </si>
  <si>
    <t>IF Purchase Amount &gt; 10000 return Big else Small</t>
  </si>
  <si>
    <t>IF City is Chennai return Metro else return Other</t>
  </si>
  <si>
    <t>City category check</t>
  </si>
  <si>
    <t>Count Clothing with &gt;10% Discount</t>
  </si>
  <si>
    <t>Multi-condition</t>
  </si>
  <si>
    <t>Sum Electronics with 5% Discount</t>
  </si>
  <si>
    <t>SUMIFS</t>
  </si>
  <si>
    <t>Avg Purchase in Coimbatore</t>
  </si>
  <si>
    <t>City average</t>
  </si>
  <si>
    <t>Count Groceries &lt;5000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</si>
</sst>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\ hh:mm:ss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Arial Unicode MS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NumberFormat="1" applyFont="1" applyAlignment="1">
      <alignment vertical="center" wrapText="1"/>
    </xf>
    <xf numFmtId="9" fontId="0" fillId="0" borderId="0" xfId="0" applyNumberForma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7"/>
  <sheetViews>
    <sheetView topLeftCell="A4" workbookViewId="0">
      <selection activeCell="C14" sqref="C14"/>
    </sheetView>
  </sheetViews>
  <sheetFormatPr defaultColWidth="9" defaultRowHeight="18.75" customHeight="1" outlineLevelCol="6"/>
  <cols>
    <col min="1" max="1" width="15.1363636363636" customWidth="1"/>
    <col min="2" max="2" width="38.2818181818182" customWidth="1"/>
    <col min="3" max="3" width="36.2818181818182" customWidth="1"/>
    <col min="4" max="4" width="31.1363636363636" customWidth="1"/>
    <col min="5" max="5" width="11.5727272727273" customWidth="1"/>
    <col min="6" max="6" width="13.4272727272727" customWidth="1"/>
    <col min="7" max="7" width="15.8545454545455" customWidth="1"/>
  </cols>
  <sheetData>
    <row r="1" customHeight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customHeight="1" spans="1:7">
      <c r="A2" s="4" t="s">
        <v>7</v>
      </c>
      <c r="B2" s="4" t="s">
        <v>8</v>
      </c>
      <c r="C2" s="4" t="s">
        <v>9</v>
      </c>
      <c r="D2" s="4">
        <v>85000</v>
      </c>
      <c r="E2" s="4">
        <v>80000</v>
      </c>
      <c r="F2" s="7">
        <v>1.06</v>
      </c>
      <c r="G2" s="4">
        <v>95</v>
      </c>
    </row>
    <row r="3" customHeight="1" spans="1:7">
      <c r="A3" s="4" t="s">
        <v>10</v>
      </c>
      <c r="B3" s="4" t="s">
        <v>8</v>
      </c>
      <c r="C3" s="4" t="s">
        <v>11</v>
      </c>
      <c r="D3" s="4">
        <v>65000</v>
      </c>
      <c r="E3" s="4">
        <v>70000</v>
      </c>
      <c r="F3" s="7">
        <v>0.93</v>
      </c>
      <c r="G3" s="4">
        <v>82</v>
      </c>
    </row>
    <row r="4" customHeight="1" spans="1:7">
      <c r="A4" s="4" t="s">
        <v>12</v>
      </c>
      <c r="B4" s="4" t="s">
        <v>13</v>
      </c>
      <c r="C4" s="4" t="s">
        <v>9</v>
      </c>
      <c r="D4" s="4">
        <v>40000</v>
      </c>
      <c r="E4" s="4">
        <v>40000</v>
      </c>
      <c r="F4" s="7">
        <v>1</v>
      </c>
      <c r="G4" s="4">
        <v>90</v>
      </c>
    </row>
    <row r="5" customHeight="1" spans="1:7">
      <c r="A5" s="4" t="s">
        <v>14</v>
      </c>
      <c r="B5" s="4" t="s">
        <v>15</v>
      </c>
      <c r="C5" s="4" t="s">
        <v>16</v>
      </c>
      <c r="D5" s="4">
        <v>95000</v>
      </c>
      <c r="E5" s="4">
        <v>90000</v>
      </c>
      <c r="F5" s="7">
        <v>1.06</v>
      </c>
      <c r="G5" s="4">
        <v>98</v>
      </c>
    </row>
    <row r="6" customHeight="1" spans="1:7">
      <c r="A6" s="4" t="s">
        <v>17</v>
      </c>
      <c r="B6" s="4" t="s">
        <v>8</v>
      </c>
      <c r="C6" s="4" t="s">
        <v>18</v>
      </c>
      <c r="D6" s="4">
        <v>72000</v>
      </c>
      <c r="E6" s="4">
        <v>80000</v>
      </c>
      <c r="F6" s="7">
        <v>0.9</v>
      </c>
      <c r="G6" s="4">
        <v>85</v>
      </c>
    </row>
    <row r="7" customHeight="1" spans="1:7">
      <c r="A7" s="4" t="s">
        <v>19</v>
      </c>
      <c r="B7" s="4" t="s">
        <v>13</v>
      </c>
      <c r="C7" s="4" t="s">
        <v>11</v>
      </c>
      <c r="D7" s="4">
        <v>38000</v>
      </c>
      <c r="E7" s="4">
        <v>35000</v>
      </c>
      <c r="F7" s="7">
        <v>1.09</v>
      </c>
      <c r="G7" s="4">
        <v>87</v>
      </c>
    </row>
    <row r="8" customHeight="1" spans="1:7">
      <c r="A8" s="4" t="s">
        <v>20</v>
      </c>
      <c r="B8" s="4" t="s">
        <v>15</v>
      </c>
      <c r="C8" s="4" t="s">
        <v>9</v>
      </c>
      <c r="D8" s="4">
        <v>80000</v>
      </c>
      <c r="E8" s="4">
        <v>75000</v>
      </c>
      <c r="F8" s="7">
        <v>1.07</v>
      </c>
      <c r="G8" s="4">
        <v>91</v>
      </c>
    </row>
    <row r="9" customHeight="1" spans="1:7">
      <c r="A9" s="4" t="s">
        <v>21</v>
      </c>
      <c r="B9" s="4" t="s">
        <v>15</v>
      </c>
      <c r="C9" s="4" t="s">
        <v>18</v>
      </c>
      <c r="D9" s="4">
        <v>73000</v>
      </c>
      <c r="E9" s="4">
        <v>75000</v>
      </c>
      <c r="F9" s="7">
        <v>0.97</v>
      </c>
      <c r="G9" s="4">
        <v>89</v>
      </c>
    </row>
    <row r="10" customHeight="1" spans="1:7">
      <c r="A10" s="4" t="s">
        <v>22</v>
      </c>
      <c r="B10" s="4" t="s">
        <v>8</v>
      </c>
      <c r="C10" s="4" t="s">
        <v>16</v>
      </c>
      <c r="D10" s="4">
        <v>91000</v>
      </c>
      <c r="E10" s="4">
        <v>88000</v>
      </c>
      <c r="F10" s="7">
        <v>1.03</v>
      </c>
      <c r="G10" s="4">
        <v>94</v>
      </c>
    </row>
    <row r="11" customHeight="1" spans="1:7">
      <c r="A11" s="4" t="s">
        <v>23</v>
      </c>
      <c r="B11" s="4" t="s">
        <v>13</v>
      </c>
      <c r="C11" s="4" t="s">
        <v>9</v>
      </c>
      <c r="D11" s="4">
        <v>42000</v>
      </c>
      <c r="E11" s="4">
        <v>40000</v>
      </c>
      <c r="F11" s="7">
        <v>1.05</v>
      </c>
      <c r="G11" s="4">
        <v>92</v>
      </c>
    </row>
    <row r="14" customHeight="1" spans="1:4">
      <c r="A14" s="3" t="s">
        <v>24</v>
      </c>
      <c r="B14" s="3" t="s">
        <v>25</v>
      </c>
      <c r="C14" s="3" t="s">
        <v>26</v>
      </c>
      <c r="D14" s="3"/>
    </row>
    <row r="15" customHeight="1" spans="1:4">
      <c r="A15" s="4">
        <v>1</v>
      </c>
      <c r="B15" s="4" t="s">
        <v>27</v>
      </c>
      <c r="C15" s="5"/>
      <c r="D15" s="4"/>
    </row>
    <row r="16" customHeight="1" spans="1:4">
      <c r="A16" s="4">
        <v>2</v>
      </c>
      <c r="B16" s="4" t="s">
        <v>28</v>
      </c>
      <c r="C16" s="5"/>
      <c r="D16" s="4"/>
    </row>
    <row r="17" customHeight="1" spans="1:4">
      <c r="A17" s="4">
        <v>3</v>
      </c>
      <c r="B17" s="4" t="s">
        <v>29</v>
      </c>
      <c r="C17" s="5"/>
      <c r="D17" s="4"/>
    </row>
    <row r="18" customHeight="1" spans="1:4">
      <c r="A18" s="4">
        <v>4</v>
      </c>
      <c r="B18" s="4" t="s">
        <v>30</v>
      </c>
      <c r="C18" s="5"/>
      <c r="D18" s="4"/>
    </row>
    <row r="19" customHeight="1" spans="1:4">
      <c r="A19" s="4">
        <v>5</v>
      </c>
      <c r="B19" s="4" t="s">
        <v>31</v>
      </c>
      <c r="C19" s="5"/>
      <c r="D19" s="4"/>
    </row>
    <row r="20" customHeight="1" spans="1:4">
      <c r="A20" s="4">
        <v>6</v>
      </c>
      <c r="B20" s="4" t="s">
        <v>32</v>
      </c>
      <c r="C20" s="5"/>
      <c r="D20" s="4"/>
    </row>
    <row r="21" customHeight="1" spans="1:4">
      <c r="A21" s="4">
        <v>7</v>
      </c>
      <c r="B21" s="4" t="s">
        <v>33</v>
      </c>
      <c r="C21" s="5"/>
      <c r="D21" s="4"/>
    </row>
    <row r="22" customHeight="1" spans="1:4">
      <c r="A22" s="4">
        <v>8</v>
      </c>
      <c r="B22" s="4" t="s">
        <v>34</v>
      </c>
      <c r="C22" s="5"/>
      <c r="D22" s="4"/>
    </row>
    <row r="23" customHeight="1" spans="1:4">
      <c r="A23" s="4">
        <v>9</v>
      </c>
      <c r="B23" s="4" t="s">
        <v>35</v>
      </c>
      <c r="C23" s="5"/>
      <c r="D23" s="4"/>
    </row>
    <row r="24" customHeight="1" spans="1:4">
      <c r="A24" s="4">
        <v>10</v>
      </c>
      <c r="B24" s="4" t="s">
        <v>36</v>
      </c>
      <c r="C24" s="5"/>
      <c r="D24" s="4"/>
    </row>
    <row r="25" customHeight="1" spans="1:4">
      <c r="A25" s="4">
        <v>11</v>
      </c>
      <c r="B25" s="4" t="s">
        <v>37</v>
      </c>
      <c r="C25" s="5"/>
      <c r="D25" s="4"/>
    </row>
    <row r="26" customHeight="1" spans="1:4">
      <c r="A26" s="4">
        <v>12</v>
      </c>
      <c r="B26" s="4" t="s">
        <v>38</v>
      </c>
      <c r="C26" s="5"/>
      <c r="D26" s="4"/>
    </row>
    <row r="27" customHeight="1" spans="1:4">
      <c r="A27" s="4">
        <v>13</v>
      </c>
      <c r="B27" s="4" t="s">
        <v>39</v>
      </c>
      <c r="C27" s="5"/>
      <c r="D27" s="4"/>
    </row>
    <row r="28" customHeight="1" spans="1:4">
      <c r="A28" s="4">
        <v>14</v>
      </c>
      <c r="B28" s="4" t="s">
        <v>40</v>
      </c>
      <c r="C28" s="5"/>
      <c r="D28" s="4"/>
    </row>
    <row r="29" customHeight="1" spans="1:4">
      <c r="A29" s="4">
        <v>15</v>
      </c>
      <c r="B29" s="4" t="s">
        <v>41</v>
      </c>
      <c r="C29" s="5"/>
      <c r="D29" s="4"/>
    </row>
    <row r="30" customHeight="1" spans="1:4">
      <c r="A30" s="4">
        <v>16</v>
      </c>
      <c r="B30" s="4" t="s">
        <v>42</v>
      </c>
      <c r="C30" s="5"/>
      <c r="D30" s="4"/>
    </row>
    <row r="31" customHeight="1" spans="1:4">
      <c r="A31" s="4">
        <v>17</v>
      </c>
      <c r="B31" s="4" t="s">
        <v>43</v>
      </c>
      <c r="C31" s="5"/>
      <c r="D31" s="4"/>
    </row>
    <row r="32" customHeight="1" spans="1:4">
      <c r="A32" s="4">
        <v>18</v>
      </c>
      <c r="B32" s="4" t="s">
        <v>44</v>
      </c>
      <c r="C32" s="5"/>
      <c r="D32" s="4"/>
    </row>
    <row r="33" customHeight="1" spans="1:4">
      <c r="A33" s="4">
        <v>19</v>
      </c>
      <c r="B33" s="4" t="s">
        <v>45</v>
      </c>
      <c r="C33" s="5"/>
      <c r="D33" s="4"/>
    </row>
    <row r="34" customHeight="1" spans="1:4">
      <c r="A34" s="4">
        <v>20</v>
      </c>
      <c r="B34" s="4" t="s">
        <v>46</v>
      </c>
      <c r="C34" s="5"/>
      <c r="D34" s="4"/>
    </row>
    <row r="35" customHeight="1" spans="1:4">
      <c r="A35" s="4">
        <v>21</v>
      </c>
      <c r="B35" s="4" t="s">
        <v>47</v>
      </c>
      <c r="C35" s="5"/>
      <c r="D35" s="4"/>
    </row>
    <row r="36" ht="41.25" customHeight="1" spans="1:4">
      <c r="A36" s="4">
        <v>22</v>
      </c>
      <c r="B36" s="4" t="s">
        <v>48</v>
      </c>
      <c r="C36" s="5"/>
      <c r="D36" s="4"/>
    </row>
    <row r="37" customHeight="1" spans="1:4">
      <c r="A37" s="4">
        <v>23</v>
      </c>
      <c r="B37" s="4" t="s">
        <v>49</v>
      </c>
      <c r="C37" s="5"/>
      <c r="D37" s="4"/>
    </row>
    <row r="38" customHeight="1" spans="1:4">
      <c r="A38" s="4">
        <v>24</v>
      </c>
      <c r="B38" s="4" t="s">
        <v>50</v>
      </c>
      <c r="C38" s="5"/>
      <c r="D38" s="4"/>
    </row>
    <row r="39" customHeight="1" spans="1:4">
      <c r="A39" s="4">
        <v>25</v>
      </c>
      <c r="B39" s="4" t="s">
        <v>51</v>
      </c>
      <c r="C39" s="4"/>
      <c r="D39" s="4"/>
    </row>
    <row r="40" customHeight="1" spans="1:4">
      <c r="A40" s="4">
        <v>26</v>
      </c>
      <c r="B40" s="4" t="s">
        <v>52</v>
      </c>
      <c r="C40" s="5"/>
      <c r="D40" s="4"/>
    </row>
    <row r="41" customHeight="1" spans="1:4">
      <c r="A41" s="4">
        <v>27</v>
      </c>
      <c r="B41" s="4" t="s">
        <v>53</v>
      </c>
      <c r="C41" s="4"/>
      <c r="D41" s="4"/>
    </row>
    <row r="42" customHeight="1" spans="1:4">
      <c r="A42" s="4">
        <v>28</v>
      </c>
      <c r="B42" s="4" t="s">
        <v>54</v>
      </c>
      <c r="C42" s="4"/>
      <c r="D42" s="4"/>
    </row>
    <row r="43" customHeight="1" spans="1:4">
      <c r="A43" s="4">
        <v>29</v>
      </c>
      <c r="B43" s="4" t="s">
        <v>55</v>
      </c>
      <c r="C43" s="5"/>
      <c r="D43" s="4"/>
    </row>
    <row r="44" customHeight="1" spans="1:4">
      <c r="A44" s="4">
        <v>30</v>
      </c>
      <c r="B44" s="4" t="s">
        <v>56</v>
      </c>
      <c r="C44" s="5"/>
      <c r="D44" s="4"/>
    </row>
    <row r="45" customHeight="1" spans="1:4">
      <c r="A45" s="4">
        <v>31</v>
      </c>
      <c r="B45" s="4" t="s">
        <v>57</v>
      </c>
      <c r="C45" s="5"/>
      <c r="D45" s="4"/>
    </row>
    <row r="46" customHeight="1" spans="1:4">
      <c r="A46" s="4">
        <v>32</v>
      </c>
      <c r="B46" s="4" t="s">
        <v>58</v>
      </c>
      <c r="C46" s="5"/>
      <c r="D46" s="4"/>
    </row>
    <row r="47" customHeight="1" spans="1:4">
      <c r="A47" s="4"/>
      <c r="B47" s="4"/>
      <c r="C47" s="5"/>
      <c r="D47" s="4"/>
    </row>
    <row r="48" customHeight="1" spans="1:4">
      <c r="A48" s="4"/>
      <c r="B48" s="4"/>
      <c r="C48" s="5"/>
      <c r="D48" s="4"/>
    </row>
    <row r="49" customHeight="1" spans="1:4">
      <c r="A49" s="4"/>
      <c r="B49" s="4"/>
      <c r="C49" s="5"/>
      <c r="D49" s="4"/>
    </row>
    <row r="50" customHeight="1" spans="1:4">
      <c r="A50" s="4"/>
      <c r="B50" s="4"/>
      <c r="C50" s="4"/>
      <c r="D50" s="4"/>
    </row>
    <row r="51" customHeight="1" spans="1:4">
      <c r="A51" s="4"/>
      <c r="B51" s="4"/>
      <c r="C51" s="4"/>
      <c r="D51" s="4"/>
    </row>
    <row r="52" customHeight="1" spans="1:4">
      <c r="A52" s="4"/>
      <c r="B52" s="4"/>
      <c r="C52" s="4"/>
      <c r="D52" s="4"/>
    </row>
    <row r="53" customHeight="1" spans="1:4">
      <c r="A53" s="4"/>
      <c r="B53" s="4"/>
      <c r="C53" s="4"/>
      <c r="D53" s="4"/>
    </row>
    <row r="54" customHeight="1" spans="1:4">
      <c r="A54" s="4"/>
      <c r="B54" s="4"/>
      <c r="C54" s="5"/>
      <c r="D54" s="4"/>
    </row>
    <row r="55" customHeight="1" spans="1:4">
      <c r="A55" s="4">
        <v>48</v>
      </c>
      <c r="B55" s="4" t="s">
        <v>59</v>
      </c>
      <c r="C55" s="5">
        <f>COUNTBLANK(B2:B11)</f>
        <v>0</v>
      </c>
      <c r="D55" s="4" t="s">
        <v>60</v>
      </c>
    </row>
    <row r="56" customHeight="1" spans="1:4">
      <c r="A56" s="4"/>
      <c r="B56" s="4"/>
      <c r="C56" s="5"/>
      <c r="D56" s="4"/>
    </row>
    <row r="57" customHeight="1" spans="1:4">
      <c r="A57" s="4">
        <v>50</v>
      </c>
      <c r="B57" s="4" t="s">
        <v>61</v>
      </c>
      <c r="C57" s="5">
        <f>IF(F2&gt;=100%,D2*10%,"0")</f>
        <v>8500</v>
      </c>
      <c r="D57" s="4" t="s">
        <v>62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"/>
  <sheetViews>
    <sheetView tabSelected="1" zoomScale="93" zoomScaleNormal="93" workbookViewId="0">
      <selection activeCell="C26" sqref="C26"/>
    </sheetView>
  </sheetViews>
  <sheetFormatPr defaultColWidth="19.4272727272727" defaultRowHeight="22.5" customHeight="1"/>
  <cols>
    <col min="2" max="2" width="44.7090909090909" customWidth="1"/>
    <col min="4" max="4" width="28.7090909090909" customWidth="1"/>
  </cols>
  <sheetData>
    <row r="1" customHeight="1" spans="1:10">
      <c r="A1" s="3" t="s">
        <v>63</v>
      </c>
      <c r="B1" s="3" t="s">
        <v>64</v>
      </c>
      <c r="C1" s="3" t="s">
        <v>65</v>
      </c>
      <c r="D1" s="3" t="s">
        <v>66</v>
      </c>
      <c r="E1" s="3" t="s">
        <v>67</v>
      </c>
      <c r="F1" s="3" t="s">
        <v>68</v>
      </c>
      <c r="G1" s="3" t="s">
        <v>69</v>
      </c>
      <c r="H1" t="s">
        <v>70</v>
      </c>
      <c r="I1" t="s">
        <v>71</v>
      </c>
      <c r="J1" t="s">
        <v>72</v>
      </c>
    </row>
    <row r="2" customHeight="1" spans="1:10">
      <c r="A2" s="4" t="s">
        <v>73</v>
      </c>
      <c r="B2" s="4" t="s">
        <v>74</v>
      </c>
      <c r="C2" s="4" t="s">
        <v>75</v>
      </c>
      <c r="D2" s="4">
        <v>55000</v>
      </c>
      <c r="E2" s="4">
        <v>15</v>
      </c>
      <c r="F2" s="4">
        <v>5</v>
      </c>
      <c r="G2" s="4" t="s">
        <v>9</v>
      </c>
      <c r="H2">
        <f>E2*D2*(1-F2/100)</f>
        <v>783750</v>
      </c>
      <c r="I2" t="str">
        <f>IF(D2&gt;10000,"Expensive","Budget")</f>
        <v>Expensive</v>
      </c>
      <c r="J2" t="str">
        <f>IF(G2="South","Zone A","Other Zone")</f>
        <v>Zone A</v>
      </c>
    </row>
    <row r="3" customHeight="1" spans="1:10">
      <c r="A3" s="4" t="s">
        <v>76</v>
      </c>
      <c r="B3" s="4" t="s">
        <v>77</v>
      </c>
      <c r="C3" s="4" t="s">
        <v>78</v>
      </c>
      <c r="D3" s="4">
        <v>800</v>
      </c>
      <c r="E3" s="4">
        <v>120</v>
      </c>
      <c r="F3" s="4">
        <v>0</v>
      </c>
      <c r="G3" s="4" t="s">
        <v>11</v>
      </c>
      <c r="H3">
        <f t="shared" ref="H3:H11" si="0">E3*D3*(1-F3/100)</f>
        <v>96000</v>
      </c>
      <c r="I3" t="str">
        <f t="shared" ref="I3:I11" si="1">IF(D3&gt;10000,"Expensive","Budget")</f>
        <v>Budget</v>
      </c>
      <c r="J3" t="str">
        <f t="shared" ref="J3:J11" si="2">IF(G3="South","Zone A","Other Zone")</f>
        <v>Other Zone</v>
      </c>
    </row>
    <row r="4" customHeight="1" spans="1:10">
      <c r="A4" s="4" t="s">
        <v>79</v>
      </c>
      <c r="B4" s="4" t="s">
        <v>80</v>
      </c>
      <c r="C4" s="4" t="s">
        <v>78</v>
      </c>
      <c r="D4" s="4">
        <v>1200</v>
      </c>
      <c r="E4" s="4">
        <v>90</v>
      </c>
      <c r="F4" s="4">
        <v>10</v>
      </c>
      <c r="G4" s="4" t="s">
        <v>16</v>
      </c>
      <c r="H4">
        <f t="shared" si="0"/>
        <v>97200</v>
      </c>
      <c r="I4" t="str">
        <f t="shared" si="1"/>
        <v>Budget</v>
      </c>
      <c r="J4" t="str">
        <f t="shared" si="2"/>
        <v>Other Zone</v>
      </c>
    </row>
    <row r="5" customHeight="1" spans="1:10">
      <c r="A5" s="4" t="s">
        <v>81</v>
      </c>
      <c r="B5" s="4" t="s">
        <v>82</v>
      </c>
      <c r="C5" s="4" t="s">
        <v>75</v>
      </c>
      <c r="D5" s="4">
        <v>15000</v>
      </c>
      <c r="E5" s="4">
        <v>25</v>
      </c>
      <c r="F5" s="4">
        <v>8</v>
      </c>
      <c r="G5" s="4" t="s">
        <v>18</v>
      </c>
      <c r="H5">
        <f t="shared" si="0"/>
        <v>345000</v>
      </c>
      <c r="I5" t="str">
        <f t="shared" si="1"/>
        <v>Expensive</v>
      </c>
      <c r="J5" t="str">
        <f t="shared" si="2"/>
        <v>Other Zone</v>
      </c>
    </row>
    <row r="6" customHeight="1" spans="1:10">
      <c r="A6" s="4" t="s">
        <v>83</v>
      </c>
      <c r="B6" s="4" t="s">
        <v>84</v>
      </c>
      <c r="C6" s="4" t="s">
        <v>75</v>
      </c>
      <c r="D6" s="4">
        <v>12000</v>
      </c>
      <c r="E6" s="4">
        <v>20</v>
      </c>
      <c r="F6" s="4">
        <v>7</v>
      </c>
      <c r="G6" s="4" t="s">
        <v>9</v>
      </c>
      <c r="H6">
        <f t="shared" si="0"/>
        <v>223200</v>
      </c>
      <c r="I6" t="str">
        <f t="shared" si="1"/>
        <v>Expensive</v>
      </c>
      <c r="J6" t="str">
        <f t="shared" si="2"/>
        <v>Zone A</v>
      </c>
    </row>
    <row r="7" customHeight="1" spans="1:10">
      <c r="A7" s="4" t="s">
        <v>85</v>
      </c>
      <c r="B7" s="4" t="s">
        <v>86</v>
      </c>
      <c r="C7" s="4" t="s">
        <v>75</v>
      </c>
      <c r="D7" s="4">
        <v>10000</v>
      </c>
      <c r="E7" s="4">
        <v>18</v>
      </c>
      <c r="F7" s="4">
        <v>5</v>
      </c>
      <c r="G7" s="4" t="s">
        <v>11</v>
      </c>
      <c r="H7">
        <f t="shared" si="0"/>
        <v>171000</v>
      </c>
      <c r="I7" t="str">
        <f t="shared" si="1"/>
        <v>Budget</v>
      </c>
      <c r="J7" t="str">
        <f t="shared" si="2"/>
        <v>Other Zone</v>
      </c>
    </row>
    <row r="8" customHeight="1" spans="1:10">
      <c r="A8" s="4" t="s">
        <v>87</v>
      </c>
      <c r="B8" s="4" t="s">
        <v>88</v>
      </c>
      <c r="C8" s="4" t="s">
        <v>75</v>
      </c>
      <c r="D8" s="4">
        <v>25000</v>
      </c>
      <c r="E8" s="4">
        <v>10</v>
      </c>
      <c r="F8" s="4">
        <v>3</v>
      </c>
      <c r="G8" s="4" t="s">
        <v>16</v>
      </c>
      <c r="H8">
        <f t="shared" si="0"/>
        <v>242500</v>
      </c>
      <c r="I8" t="str">
        <f t="shared" si="1"/>
        <v>Expensive</v>
      </c>
      <c r="J8" t="str">
        <f t="shared" si="2"/>
        <v>Other Zone</v>
      </c>
    </row>
    <row r="9" customHeight="1" spans="1:10">
      <c r="A9" s="4" t="s">
        <v>89</v>
      </c>
      <c r="B9" s="4" t="s">
        <v>90</v>
      </c>
      <c r="C9" s="4" t="s">
        <v>78</v>
      </c>
      <c r="D9" s="4">
        <v>3000</v>
      </c>
      <c r="E9" s="4">
        <v>45</v>
      </c>
      <c r="F9" s="4">
        <v>12</v>
      </c>
      <c r="G9" s="4" t="s">
        <v>18</v>
      </c>
      <c r="H9">
        <f t="shared" si="0"/>
        <v>118800</v>
      </c>
      <c r="I9" t="str">
        <f t="shared" si="1"/>
        <v>Budget</v>
      </c>
      <c r="J9" t="str">
        <f t="shared" si="2"/>
        <v>Other Zone</v>
      </c>
    </row>
    <row r="10" customHeight="1" spans="1:10">
      <c r="A10" s="4" t="s">
        <v>91</v>
      </c>
      <c r="B10" s="4" t="s">
        <v>92</v>
      </c>
      <c r="C10" s="4" t="s">
        <v>75</v>
      </c>
      <c r="D10" s="4">
        <v>40000</v>
      </c>
      <c r="E10" s="4">
        <v>12</v>
      </c>
      <c r="F10" s="4">
        <v>4</v>
      </c>
      <c r="G10" s="4" t="s">
        <v>9</v>
      </c>
      <c r="H10">
        <f t="shared" si="0"/>
        <v>460800</v>
      </c>
      <c r="I10" t="str">
        <f t="shared" si="1"/>
        <v>Expensive</v>
      </c>
      <c r="J10" t="str">
        <f t="shared" si="2"/>
        <v>Zone A</v>
      </c>
    </row>
    <row r="11" customHeight="1" spans="1:10">
      <c r="A11" s="4" t="s">
        <v>93</v>
      </c>
      <c r="B11" s="4" t="s">
        <v>94</v>
      </c>
      <c r="C11" s="4" t="s">
        <v>95</v>
      </c>
      <c r="D11" s="4">
        <v>5000</v>
      </c>
      <c r="E11" s="4">
        <v>30</v>
      </c>
      <c r="F11" s="4">
        <v>6</v>
      </c>
      <c r="G11" s="4" t="s">
        <v>16</v>
      </c>
      <c r="H11">
        <f t="shared" si="0"/>
        <v>141000</v>
      </c>
      <c r="I11" t="str">
        <f t="shared" si="1"/>
        <v>Budget</v>
      </c>
      <c r="J11" t="str">
        <f t="shared" si="2"/>
        <v>Other Zone</v>
      </c>
    </row>
    <row r="13" customHeight="1" spans="1:4">
      <c r="A13" s="3" t="s">
        <v>24</v>
      </c>
      <c r="B13" s="3" t="s">
        <v>25</v>
      </c>
      <c r="C13" s="3" t="s">
        <v>26</v>
      </c>
      <c r="D13" s="3"/>
    </row>
    <row r="14" customHeight="1" spans="1:4">
      <c r="A14" s="4">
        <v>1</v>
      </c>
      <c r="B14" s="4" t="s">
        <v>96</v>
      </c>
      <c r="C14" s="6">
        <f>SUM(E2:E11)</f>
        <v>385</v>
      </c>
      <c r="D14" s="4"/>
    </row>
    <row r="15" customHeight="1" spans="1:4">
      <c r="A15" s="4">
        <v>2</v>
      </c>
      <c r="B15" s="4" t="s">
        <v>97</v>
      </c>
      <c r="C15" s="5">
        <f>AVERAGE(D2:D11)</f>
        <v>16700</v>
      </c>
      <c r="D15" s="4"/>
    </row>
    <row r="16" customHeight="1" spans="1:4">
      <c r="A16" s="4">
        <v>3</v>
      </c>
      <c r="B16" s="4" t="s">
        <v>98</v>
      </c>
      <c r="C16" s="5">
        <f>MAX(D2:D11)</f>
        <v>55000</v>
      </c>
      <c r="D16" s="4"/>
    </row>
    <row r="17" customHeight="1" spans="1:4">
      <c r="A17" s="4">
        <v>4</v>
      </c>
      <c r="B17" s="4" t="s">
        <v>99</v>
      </c>
      <c r="C17" s="5">
        <f>MIN(D2:D11)</f>
        <v>800</v>
      </c>
      <c r="D17" s="4"/>
    </row>
    <row r="18" customHeight="1" spans="1:4">
      <c r="A18" s="4">
        <v>5</v>
      </c>
      <c r="B18" s="4" t="s">
        <v>100</v>
      </c>
      <c r="C18" s="5">
        <f>COUNTA(B2:B11)</f>
        <v>10</v>
      </c>
      <c r="D18" s="4"/>
    </row>
    <row r="19" customHeight="1" spans="1:4">
      <c r="A19" s="4">
        <v>6</v>
      </c>
      <c r="B19" s="4" t="s">
        <v>101</v>
      </c>
      <c r="C19" s="5">
        <f>COUNTIF(C2:C11,"=Accessories")</f>
        <v>3</v>
      </c>
      <c r="D19" s="4"/>
    </row>
    <row r="20" customHeight="1" spans="1:4">
      <c r="A20" s="4">
        <v>7</v>
      </c>
      <c r="B20" s="4" t="s">
        <v>102</v>
      </c>
      <c r="C20" s="5">
        <f>SUMIF(C2:C11,"=Electronics",D2:D11)</f>
        <v>157000</v>
      </c>
      <c r="D20" s="4"/>
    </row>
    <row r="21" customHeight="1" spans="1:4">
      <c r="A21" s="4">
        <v>8</v>
      </c>
      <c r="B21" s="4" t="s">
        <v>103</v>
      </c>
      <c r="C21" s="5">
        <f>AVERAGEIF(C2:C11,"=Electronics",F2:F11)</f>
        <v>5.33333333333333</v>
      </c>
      <c r="D21" s="4"/>
    </row>
    <row r="22" customHeight="1" spans="1:4">
      <c r="A22" s="4">
        <v>9</v>
      </c>
      <c r="B22" s="4" t="s">
        <v>104</v>
      </c>
      <c r="C22" s="5">
        <f>COUNTIF(G2:G11,"South")</f>
        <v>3</v>
      </c>
      <c r="D22" s="4"/>
    </row>
    <row r="23" customHeight="1" spans="1:4">
      <c r="A23" s="4">
        <v>10</v>
      </c>
      <c r="B23" s="4" t="s">
        <v>105</v>
      </c>
      <c r="C23" s="5">
        <f>SUMIF(G2:G11,"=East",E2:E11)</f>
        <v>130</v>
      </c>
      <c r="D23" s="4"/>
    </row>
    <row r="24" customHeight="1" spans="1:4">
      <c r="A24" s="4">
        <v>11</v>
      </c>
      <c r="B24" s="4" t="s">
        <v>106</v>
      </c>
      <c r="C24" s="5">
        <f>AVERAGEIF(D2:D11,"&gt;10000")</f>
        <v>29400</v>
      </c>
      <c r="D24" s="4"/>
    </row>
    <row r="25" customHeight="1" spans="1:4">
      <c r="A25" s="4">
        <v>12</v>
      </c>
      <c r="B25" s="4" t="s">
        <v>107</v>
      </c>
      <c r="C25" s="5">
        <f>COUNTIF(F2:F11,"&lt;10%")</f>
        <v>1</v>
      </c>
      <c r="D25" s="4"/>
    </row>
    <row r="26" customHeight="1" spans="1:4">
      <c r="A26" s="4">
        <v>13</v>
      </c>
      <c r="B26" s="4" t="s">
        <v>108</v>
      </c>
      <c r="C26" s="6">
        <f>SUM(H2:H11)</f>
        <v>2679250</v>
      </c>
      <c r="D26" s="4"/>
    </row>
    <row r="27" customHeight="1" spans="1:4">
      <c r="A27" s="4">
        <v>14</v>
      </c>
      <c r="B27" s="4" t="s">
        <v>71</v>
      </c>
      <c r="C27" s="5" t="str">
        <f>IF(D2&gt;10000,"Expensive","Budget")</f>
        <v>Expensive</v>
      </c>
      <c r="D27" s="4"/>
    </row>
    <row r="28" ht="33.75" customHeight="1" spans="1:4">
      <c r="A28" s="4">
        <v>15</v>
      </c>
      <c r="B28" s="4" t="s">
        <v>72</v>
      </c>
      <c r="C28" s="5" t="str">
        <f>IF(G2="South","Zone A","Other Zone")</f>
        <v>Zone A</v>
      </c>
      <c r="D28" s="4"/>
    </row>
    <row r="29" customHeight="1" spans="1:4">
      <c r="A29" s="4">
        <v>16</v>
      </c>
      <c r="B29" s="4" t="s">
        <v>109</v>
      </c>
      <c r="C29" s="5">
        <f>COUNTIFS(D2:D11,"&gt;10000",F2:F11,"&lt;5")</f>
        <v>2</v>
      </c>
      <c r="D29" s="4"/>
    </row>
    <row r="30" customHeight="1" spans="1:4">
      <c r="A30" s="4">
        <v>17</v>
      </c>
      <c r="B30" s="4" t="s">
        <v>110</v>
      </c>
      <c r="C30" s="5">
        <f>SUMIFS(E2:E11,C2:C11,"=Electronics",F2:F11,"&gt;=10")</f>
        <v>0</v>
      </c>
      <c r="D30" s="4"/>
    </row>
    <row r="31" customHeight="1" spans="1:4">
      <c r="A31" s="4">
        <v>18</v>
      </c>
      <c r="B31" s="4" t="s">
        <v>111</v>
      </c>
      <c r="C31" s="5">
        <f>AVERAGEIF(G2:G11,"=South",E2:E11)</f>
        <v>15.6666666666667</v>
      </c>
      <c r="D31" s="4"/>
    </row>
    <row r="32" customHeight="1" spans="1:4">
      <c r="A32" s="4">
        <v>19</v>
      </c>
      <c r="B32" s="4" t="s">
        <v>112</v>
      </c>
      <c r="C32" s="5">
        <f>COUNTIFS(C2:C11,"=Accessories",E2:E11,"&gt;=50")</f>
        <v>2</v>
      </c>
      <c r="D32" s="4"/>
    </row>
    <row r="33" customHeight="1" spans="1:4">
      <c r="A33" s="4"/>
      <c r="B33" s="4"/>
      <c r="C33" s="5"/>
      <c r="D33" s="4"/>
    </row>
    <row r="34" customHeight="1" spans="1:4">
      <c r="A34" s="4"/>
      <c r="B34" s="4"/>
      <c r="C34" s="5"/>
      <c r="D34" s="4"/>
    </row>
    <row r="35" customHeight="1" spans="1:4">
      <c r="A35" s="4"/>
      <c r="B35" s="4"/>
      <c r="C35" s="5"/>
      <c r="D35" s="4"/>
    </row>
    <row r="36" customHeight="1" spans="1:4">
      <c r="A36" s="4"/>
      <c r="B36" s="4"/>
      <c r="C36" s="4"/>
      <c r="D36" s="4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9"/>
  <sheetViews>
    <sheetView topLeftCell="A11" workbookViewId="0">
      <selection activeCell="D19" sqref="D19:D34"/>
    </sheetView>
  </sheetViews>
  <sheetFormatPr defaultColWidth="9" defaultRowHeight="24" customHeight="1" outlineLevelCol="6"/>
  <cols>
    <col min="1" max="1" width="12.4272727272727" customWidth="1"/>
    <col min="2" max="2" width="45.1363636363636" customWidth="1"/>
    <col min="3" max="3" width="16.8545454545455" customWidth="1"/>
    <col min="4" max="4" width="29.8545454545455" customWidth="1"/>
    <col min="5" max="5" width="17.4272727272727" customWidth="1"/>
    <col min="6" max="6" width="11.2818181818182" customWidth="1"/>
    <col min="7" max="7" width="18.2818181818182" customWidth="1"/>
  </cols>
  <sheetData>
    <row r="1" customHeight="1" spans="1:7">
      <c r="A1" s="1" t="s">
        <v>113</v>
      </c>
      <c r="B1" s="1" t="s">
        <v>114</v>
      </c>
      <c r="C1" s="1" t="s">
        <v>115</v>
      </c>
      <c r="D1" s="1" t="s">
        <v>116</v>
      </c>
      <c r="E1" s="1" t="s">
        <v>117</v>
      </c>
      <c r="F1" s="1" t="s">
        <v>68</v>
      </c>
      <c r="G1" s="1" t="s">
        <v>118</v>
      </c>
    </row>
    <row r="2" customHeight="1" spans="1:7">
      <c r="A2" t="s">
        <v>119</v>
      </c>
      <c r="B2" t="s">
        <v>21</v>
      </c>
      <c r="C2" t="s">
        <v>120</v>
      </c>
      <c r="D2" t="s">
        <v>121</v>
      </c>
      <c r="E2">
        <v>10871</v>
      </c>
      <c r="F2">
        <v>20</v>
      </c>
      <c r="G2" s="2">
        <v>45658</v>
      </c>
    </row>
    <row r="3" customHeight="1" spans="1:7">
      <c r="A3" t="s">
        <v>122</v>
      </c>
      <c r="B3" t="s">
        <v>17</v>
      </c>
      <c r="C3" t="s">
        <v>123</v>
      </c>
      <c r="D3" t="s">
        <v>124</v>
      </c>
      <c r="E3">
        <v>18363</v>
      </c>
      <c r="F3">
        <v>5</v>
      </c>
      <c r="G3" s="2">
        <v>45673</v>
      </c>
    </row>
    <row r="4" customHeight="1" spans="1:7">
      <c r="A4" t="s">
        <v>125</v>
      </c>
      <c r="B4" t="s">
        <v>126</v>
      </c>
      <c r="C4" t="s">
        <v>127</v>
      </c>
      <c r="D4" t="s">
        <v>124</v>
      </c>
      <c r="E4">
        <v>14263</v>
      </c>
      <c r="F4">
        <v>5</v>
      </c>
      <c r="G4" s="2">
        <v>45688</v>
      </c>
    </row>
    <row r="5" customHeight="1" spans="1:7">
      <c r="A5" t="s">
        <v>128</v>
      </c>
      <c r="B5" t="s">
        <v>22</v>
      </c>
      <c r="C5" t="s">
        <v>120</v>
      </c>
      <c r="D5" t="s">
        <v>129</v>
      </c>
      <c r="E5">
        <v>15486</v>
      </c>
      <c r="F5">
        <v>5</v>
      </c>
      <c r="G5" s="2">
        <v>45703</v>
      </c>
    </row>
    <row r="6" customHeight="1" spans="1:7">
      <c r="A6" t="s">
        <v>130</v>
      </c>
      <c r="B6" t="s">
        <v>131</v>
      </c>
      <c r="C6" t="s">
        <v>123</v>
      </c>
      <c r="D6" t="s">
        <v>124</v>
      </c>
      <c r="E6">
        <v>12550</v>
      </c>
      <c r="F6">
        <v>5</v>
      </c>
      <c r="G6" s="2">
        <v>45718</v>
      </c>
    </row>
    <row r="7" customHeight="1" spans="1:7">
      <c r="A7" t="s">
        <v>132</v>
      </c>
      <c r="B7" t="s">
        <v>133</v>
      </c>
      <c r="C7" t="s">
        <v>127</v>
      </c>
      <c r="D7" t="s">
        <v>129</v>
      </c>
      <c r="E7">
        <v>9011</v>
      </c>
      <c r="F7">
        <v>5</v>
      </c>
      <c r="G7" s="2">
        <v>45733</v>
      </c>
    </row>
    <row r="8" customHeight="1" spans="1:7">
      <c r="A8" t="s">
        <v>134</v>
      </c>
      <c r="B8" t="s">
        <v>135</v>
      </c>
      <c r="C8" t="s">
        <v>127</v>
      </c>
      <c r="D8" t="s">
        <v>124</v>
      </c>
      <c r="E8">
        <v>2170</v>
      </c>
      <c r="F8">
        <v>20</v>
      </c>
      <c r="G8" s="2">
        <v>45748</v>
      </c>
    </row>
    <row r="9" customHeight="1" spans="1:7">
      <c r="A9" t="s">
        <v>136</v>
      </c>
      <c r="B9" t="s">
        <v>12</v>
      </c>
      <c r="C9" t="s">
        <v>123</v>
      </c>
      <c r="D9" t="s">
        <v>124</v>
      </c>
      <c r="E9">
        <v>22619</v>
      </c>
      <c r="F9">
        <v>10</v>
      </c>
      <c r="G9" s="2">
        <v>45763</v>
      </c>
    </row>
    <row r="10" customHeight="1" spans="1:7">
      <c r="A10" t="s">
        <v>137</v>
      </c>
      <c r="B10" t="s">
        <v>20</v>
      </c>
      <c r="C10" t="s">
        <v>127</v>
      </c>
      <c r="D10" t="s">
        <v>75</v>
      </c>
      <c r="E10">
        <v>24850</v>
      </c>
      <c r="F10">
        <v>5</v>
      </c>
      <c r="G10" s="2">
        <v>45778</v>
      </c>
    </row>
    <row r="11" customHeight="1" spans="1:7">
      <c r="A11" t="s">
        <v>138</v>
      </c>
      <c r="B11" t="s">
        <v>19</v>
      </c>
      <c r="C11" t="s">
        <v>120</v>
      </c>
      <c r="D11" t="s">
        <v>129</v>
      </c>
      <c r="E11">
        <v>16158</v>
      </c>
      <c r="F11">
        <v>5</v>
      </c>
      <c r="G11" s="2">
        <v>45793</v>
      </c>
    </row>
    <row r="12" customHeight="1" spans="1:7">
      <c r="A12" t="s">
        <v>139</v>
      </c>
      <c r="B12" t="s">
        <v>140</v>
      </c>
      <c r="C12" t="s">
        <v>123</v>
      </c>
      <c r="D12" t="s">
        <v>129</v>
      </c>
      <c r="E12">
        <v>15902</v>
      </c>
      <c r="F12">
        <v>15</v>
      </c>
      <c r="G12" s="2">
        <v>45808</v>
      </c>
    </row>
    <row r="13" customHeight="1" spans="1:7">
      <c r="A13" t="s">
        <v>141</v>
      </c>
      <c r="B13" t="s">
        <v>142</v>
      </c>
      <c r="C13" t="s">
        <v>120</v>
      </c>
      <c r="D13" t="s">
        <v>124</v>
      </c>
      <c r="E13">
        <v>22410</v>
      </c>
      <c r="F13">
        <v>20</v>
      </c>
      <c r="G13" s="2">
        <v>45823</v>
      </c>
    </row>
    <row r="14" customHeight="1" spans="1:7">
      <c r="A14" t="s">
        <v>143</v>
      </c>
      <c r="B14" t="s">
        <v>14</v>
      </c>
      <c r="C14" t="s">
        <v>123</v>
      </c>
      <c r="D14" t="s">
        <v>124</v>
      </c>
      <c r="E14">
        <v>20429</v>
      </c>
      <c r="F14">
        <v>15</v>
      </c>
      <c r="G14" s="2">
        <v>45838</v>
      </c>
    </row>
    <row r="15" customHeight="1" spans="1:7">
      <c r="A15" t="s">
        <v>144</v>
      </c>
      <c r="B15" t="s">
        <v>145</v>
      </c>
      <c r="C15" t="s">
        <v>123</v>
      </c>
      <c r="D15" t="s">
        <v>121</v>
      </c>
      <c r="E15">
        <v>10772</v>
      </c>
      <c r="F15">
        <v>10</v>
      </c>
      <c r="G15" s="2">
        <v>45853</v>
      </c>
    </row>
    <row r="16" customHeight="1" spans="1:7">
      <c r="A16" t="s">
        <v>146</v>
      </c>
      <c r="B16" t="s">
        <v>147</v>
      </c>
      <c r="C16" t="s">
        <v>127</v>
      </c>
      <c r="D16" t="s">
        <v>129</v>
      </c>
      <c r="E16">
        <v>4361</v>
      </c>
      <c r="F16">
        <v>10</v>
      </c>
      <c r="G16" s="2">
        <v>45868</v>
      </c>
    </row>
    <row r="19" customHeight="1" spans="1:4">
      <c r="A19" s="3" t="s">
        <v>24</v>
      </c>
      <c r="B19" s="3" t="s">
        <v>25</v>
      </c>
      <c r="C19" s="3" t="s">
        <v>26</v>
      </c>
      <c r="D19" s="3"/>
    </row>
    <row r="20" customHeight="1" spans="1:4">
      <c r="A20" s="4">
        <v>1</v>
      </c>
      <c r="B20" s="4" t="s">
        <v>148</v>
      </c>
      <c r="C20" s="5"/>
      <c r="D20" s="4"/>
    </row>
    <row r="21" customHeight="1" spans="1:4">
      <c r="A21" s="4">
        <v>2</v>
      </c>
      <c r="B21" s="4" t="s">
        <v>149</v>
      </c>
      <c r="C21" s="5"/>
      <c r="D21" s="4"/>
    </row>
    <row r="22" customHeight="1" spans="1:4">
      <c r="A22" s="4">
        <v>3</v>
      </c>
      <c r="B22" s="4" t="s">
        <v>150</v>
      </c>
      <c r="C22" s="5"/>
      <c r="D22" s="4"/>
    </row>
    <row r="23" customHeight="1" spans="1:4">
      <c r="A23" s="4">
        <v>4</v>
      </c>
      <c r="B23" s="4" t="s">
        <v>151</v>
      </c>
      <c r="C23" s="5"/>
      <c r="D23" s="4"/>
    </row>
    <row r="24" customHeight="1" spans="1:4">
      <c r="A24" s="4">
        <v>5</v>
      </c>
      <c r="B24" s="4" t="s">
        <v>152</v>
      </c>
      <c r="C24" s="5"/>
      <c r="D24" s="4"/>
    </row>
    <row r="25" customHeight="1" spans="1:4">
      <c r="A25" s="4">
        <v>6</v>
      </c>
      <c r="B25" s="4" t="s">
        <v>153</v>
      </c>
      <c r="C25" s="5"/>
      <c r="D25" s="4"/>
    </row>
    <row r="26" customHeight="1" spans="1:4">
      <c r="A26" s="4">
        <v>7</v>
      </c>
      <c r="B26" s="4" t="s">
        <v>154</v>
      </c>
      <c r="C26" s="5"/>
      <c r="D26" s="4"/>
    </row>
    <row r="27" customHeight="1" spans="1:4">
      <c r="A27" s="4">
        <v>8</v>
      </c>
      <c r="B27" s="4" t="s">
        <v>155</v>
      </c>
      <c r="C27" s="5"/>
      <c r="D27" s="4"/>
    </row>
    <row r="28" customHeight="1" spans="1:4">
      <c r="A28" s="4">
        <v>9</v>
      </c>
      <c r="B28" s="4" t="s">
        <v>156</v>
      </c>
      <c r="C28" s="5"/>
      <c r="D28" s="4"/>
    </row>
    <row r="29" customHeight="1" spans="1:4">
      <c r="A29" s="4">
        <v>10</v>
      </c>
      <c r="B29" s="4" t="s">
        <v>157</v>
      </c>
      <c r="C29" s="5"/>
      <c r="D29" s="4"/>
    </row>
    <row r="30" customHeight="1" spans="1:4">
      <c r="A30" s="4">
        <v>11</v>
      </c>
      <c r="B30" s="4" t="s">
        <v>158</v>
      </c>
      <c r="C30" s="5"/>
      <c r="D30" s="4"/>
    </row>
    <row r="31" customHeight="1" spans="1:4">
      <c r="A31" s="4">
        <v>12</v>
      </c>
      <c r="B31" s="4" t="s">
        <v>159</v>
      </c>
      <c r="C31" s="5"/>
      <c r="D31" s="4"/>
    </row>
    <row r="32" customHeight="1" spans="1:4">
      <c r="A32" s="4">
        <v>13</v>
      </c>
      <c r="B32" s="4" t="s">
        <v>160</v>
      </c>
      <c r="C32" s="5"/>
      <c r="D32" s="4"/>
    </row>
    <row r="33" customHeight="1" spans="1:4">
      <c r="A33" s="4">
        <v>14</v>
      </c>
      <c r="B33" s="4" t="s">
        <v>161</v>
      </c>
      <c r="C33" s="5"/>
      <c r="D33" s="4"/>
    </row>
    <row r="34" customHeight="1" spans="1:4">
      <c r="A34" s="4"/>
      <c r="B34" s="4"/>
      <c r="C34" s="5"/>
      <c r="D34" s="4"/>
    </row>
    <row r="35" customHeight="1" spans="1:4">
      <c r="A35" s="4">
        <v>16</v>
      </c>
      <c r="B35" s="4" t="s">
        <v>162</v>
      </c>
      <c r="C35" s="5"/>
      <c r="D35" s="4" t="s">
        <v>163</v>
      </c>
    </row>
    <row r="36" customHeight="1" spans="1:4">
      <c r="A36" s="4">
        <v>17</v>
      </c>
      <c r="B36" s="4" t="s">
        <v>164</v>
      </c>
      <c r="C36" s="5"/>
      <c r="D36" s="4" t="s">
        <v>165</v>
      </c>
    </row>
    <row r="37" customHeight="1" spans="1:4">
      <c r="A37" s="4">
        <v>18</v>
      </c>
      <c r="B37" s="4" t="s">
        <v>166</v>
      </c>
      <c r="C37" s="5"/>
      <c r="D37" s="4" t="s">
        <v>167</v>
      </c>
    </row>
    <row r="38" customHeight="1" spans="1:4">
      <c r="A38" s="4">
        <v>19</v>
      </c>
      <c r="B38" s="4" t="s">
        <v>168</v>
      </c>
      <c r="C38" s="5"/>
      <c r="D38" s="4" t="s">
        <v>169</v>
      </c>
    </row>
    <row r="39" customHeight="1" spans="1:4">
      <c r="A39" s="4">
        <v>20</v>
      </c>
      <c r="B39" s="4" t="s">
        <v>170</v>
      </c>
      <c r="C39" s="5"/>
      <c r="D39" s="4" t="s">
        <v>165</v>
      </c>
    </row>
    <row r="40" customHeight="1" spans="1:4">
      <c r="A40" s="4"/>
      <c r="B40" s="4"/>
      <c r="C40" s="5"/>
      <c r="D40" s="4"/>
    </row>
    <row r="41" customHeight="1" spans="1:4">
      <c r="A41" s="4"/>
      <c r="B41" s="4"/>
      <c r="C41" s="5"/>
      <c r="D41" s="4"/>
    </row>
    <row r="42" customHeight="1" spans="1:4">
      <c r="A42" s="4"/>
      <c r="B42" s="4"/>
      <c r="C42" s="5"/>
      <c r="D42" s="4"/>
    </row>
    <row r="43" customHeight="1" spans="1:4">
      <c r="A43" s="4"/>
      <c r="B43" s="4"/>
      <c r="C43" s="5"/>
      <c r="D43" s="4"/>
    </row>
    <row r="44" customHeight="1" spans="1:4">
      <c r="A44" s="4"/>
      <c r="B44" s="4"/>
      <c r="C44" s="5"/>
      <c r="D44" s="4"/>
    </row>
    <row r="45" customHeight="1" spans="1:4">
      <c r="A45" s="4"/>
      <c r="B45" s="4"/>
      <c r="C45" s="5"/>
      <c r="D45" s="4"/>
    </row>
    <row r="46" customHeight="1" spans="1:4">
      <c r="A46" s="4"/>
      <c r="B46" s="4"/>
      <c r="C46" s="5"/>
      <c r="D46" s="4"/>
    </row>
    <row r="47" customHeight="1" spans="1:4">
      <c r="A47" s="4"/>
      <c r="B47" s="4"/>
      <c r="C47" s="4"/>
      <c r="D47" s="4"/>
    </row>
    <row r="48" customHeight="1" spans="1:4">
      <c r="A48" s="4"/>
      <c r="B48" s="4"/>
      <c r="C48" s="4"/>
      <c r="D48" s="4"/>
    </row>
    <row r="49" customHeight="1" spans="1:4">
      <c r="A49" s="4"/>
      <c r="B49" s="4"/>
      <c r="C49" s="4"/>
      <c r="D49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Task 1</vt:lpstr>
      <vt:lpstr>Task 2</vt:lpstr>
      <vt:lpstr>Task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nrk20</cp:lastModifiedBy>
  <dcterms:created xsi:type="dcterms:W3CDTF">2025-11-12T14:45:00Z</dcterms:created>
  <dcterms:modified xsi:type="dcterms:W3CDTF">2025-11-13T09:49:09Z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5C76BB321F21426C8AA68E44ACCB69D9_13</vt:lpwstr>
  </property>
  <property fmtid="{D5CDD505-2E9C-101B-9397-08002B2CF9AE}" pid="3" name="KSOProductBuildVer">
    <vt:lpwstr>2057-12.2.0.23149</vt:lpwstr>
  </property>
</Properties>
</file>