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Vlook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<sst xmlns="http://schemas.openxmlformats.org/spreadsheetml/2006/main" count="126" uniqueCount="95">
  <si>
    <t>ID</t>
  </si>
  <si>
    <t>Name</t>
  </si>
  <si>
    <t xml:space="preserve">    Dept</t>
  </si>
  <si>
    <t>Salary</t>
  </si>
  <si>
    <t>City</t>
  </si>
  <si>
    <t>Email</t>
  </si>
  <si>
    <t>E101</t>
  </si>
  <si>
    <t>Ravi</t>
  </si>
  <si>
    <t xml:space="preserve">    HR</t>
  </si>
  <si>
    <t>Chennai</t>
  </si>
  <si>
    <t>ravi@abc.com</t>
  </si>
  <si>
    <t>Q1. Find the Department of employee E105</t>
  </si>
  <si>
    <t>E102</t>
  </si>
  <si>
    <t>Priya</t>
  </si>
  <si>
    <t xml:space="preserve">    IT</t>
  </si>
  <si>
    <t>Madurai</t>
  </si>
  <si>
    <t>priya@abc.com</t>
  </si>
  <si>
    <t>Q2. Find the Salary of employee E102</t>
  </si>
  <si>
    <t>E103</t>
  </si>
  <si>
    <t>Kumar</t>
  </si>
  <si>
    <t xml:space="preserve">    Finance</t>
  </si>
  <si>
    <t>Trichy</t>
  </si>
  <si>
    <t>kumar@abc.com</t>
  </si>
  <si>
    <t>Q3. Find the City of employee E109</t>
  </si>
  <si>
    <t>E104</t>
  </si>
  <si>
    <t>Divya</t>
  </si>
  <si>
    <t>Salem</t>
  </si>
  <si>
    <t>divya@abc.com</t>
  </si>
  <si>
    <t>Q4. Find the Name of employee E103</t>
  </si>
  <si>
    <t>E105</t>
  </si>
  <si>
    <t>Sathish</t>
  </si>
  <si>
    <t xml:space="preserve">    Admin</t>
  </si>
  <si>
    <t>sathish@abc.com</t>
  </si>
  <si>
    <t>Q5. Find the Email of employee E108</t>
  </si>
  <si>
    <t>E106</t>
  </si>
  <si>
    <t>Meena</t>
  </si>
  <si>
    <t>Coimbatore</t>
  </si>
  <si>
    <t>meena@abc.com</t>
  </si>
  <si>
    <t>Q6. Find the Salary of employee E101</t>
  </si>
  <si>
    <t>E107</t>
  </si>
  <si>
    <t>Anand</t>
  </si>
  <si>
    <t>anand@abc.com</t>
  </si>
  <si>
    <t>Q7. Find the Department of employee E110</t>
  </si>
  <si>
    <t>E108</t>
  </si>
  <si>
    <t>Kavya</t>
  </si>
  <si>
    <t>kavya@abc.com</t>
  </si>
  <si>
    <t>Q8. Find the Name of employee E104</t>
  </si>
  <si>
    <t>E109</t>
  </si>
  <si>
    <t>Suresh</t>
  </si>
  <si>
    <t>suresh@abc.com</t>
  </si>
  <si>
    <t>Q9. Find the City of employee E106</t>
  </si>
  <si>
    <t>E110</t>
  </si>
  <si>
    <t>Deepa</t>
  </si>
  <si>
    <t>deepa@abc.com</t>
  </si>
  <si>
    <t>Q10. Find the Department of employee E109</t>
  </si>
  <si>
    <t>Q11. Find the Email of employee E107</t>
  </si>
  <si>
    <t>Q12. Find the Salary of employee E105</t>
  </si>
  <si>
    <t>Q13. Find the City of employee E103</t>
  </si>
  <si>
    <t>Q14. Find the Name of employee E102</t>
  </si>
  <si>
    <t>Q15. Find the Department of employee E108</t>
  </si>
  <si>
    <t>Q16. Find the Salary of employee E110</t>
  </si>
  <si>
    <t>Q17. Find the Email of employee E104</t>
  </si>
  <si>
    <t>Q18. Find the City of employee E101</t>
  </si>
  <si>
    <t>Q19. Find the Name of employee E107</t>
  </si>
  <si>
    <t>Q20. Find the Department of employee E103</t>
  </si>
  <si>
    <t>Field</t>
  </si>
  <si>
    <t xml:space="preserve">    E101</t>
  </si>
  <si>
    <t>Q1. Find the Name of employee E103</t>
  </si>
  <si>
    <t xml:space="preserve">    Ravi</t>
  </si>
  <si>
    <t>Q2. Find the Dept of employee E102</t>
  </si>
  <si>
    <t>Dept</t>
  </si>
  <si>
    <t>IT</t>
  </si>
  <si>
    <t>Finance</t>
  </si>
  <si>
    <t>Admin</t>
  </si>
  <si>
    <t>HR</t>
  </si>
  <si>
    <t>Q3. Find the Salary of employee E105</t>
  </si>
  <si>
    <t>Q4. Find the City of employee E106</t>
  </si>
  <si>
    <t xml:space="preserve"> Chennai</t>
  </si>
  <si>
    <t>Q5. Find the Rating of employee E104</t>
  </si>
  <si>
    <t>Rating</t>
  </si>
  <si>
    <t>Q6. Find the Dept of employee E101</t>
  </si>
  <si>
    <t>Q7. Find the Salary of employee E102</t>
  </si>
  <si>
    <t>Q8. Find the City of employee E103</t>
  </si>
  <si>
    <t>Q9. Find the Name of employee E106</t>
  </si>
  <si>
    <t>Q10. Find the Rating of employee E105</t>
  </si>
  <si>
    <t>Q11. Find the Name of employee E104</t>
  </si>
  <si>
    <t>Q12. Find the City of employee E101</t>
  </si>
  <si>
    <t>Q13. Find the Dept of employee E106</t>
  </si>
  <si>
    <t>Q14. Find the Salary of employee E103</t>
  </si>
  <si>
    <t>Q15. Find the Rating of employee E102</t>
  </si>
  <si>
    <t>Q16. Find the City of employee E105</t>
  </si>
  <si>
    <t>Q17. Find the Dept of employee E104</t>
  </si>
  <si>
    <t>Q18. Find the Name of employee E105</t>
  </si>
  <si>
    <t>Q19. Find the Rating of employee E103</t>
  </si>
  <si>
    <t>Q20. Find the Salary of employee E106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</si>
</sst>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2.5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zoomScale="80" zoomScaleNormal="80" workbookViewId="0">
      <selection activeCell="I1" sqref="I1"/>
    </sheetView>
  </sheetViews>
  <sheetFormatPr defaultColWidth="16" defaultRowHeight="14.5"/>
  <cols>
    <col min="1" max="1" width="50.8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.5" spans="1:9">
      <c r="A2" t="s">
        <v>6</v>
      </c>
      <c r="B2" t="s">
        <v>7</v>
      </c>
      <c r="C2" t="s">
        <v>8</v>
      </c>
      <c r="D2">
        <v>35000</v>
      </c>
      <c r="E2" t="s">
        <v>9</v>
      </c>
      <c r="F2" t="s">
        <v>10</v>
      </c>
      <c r="H2" s="3" t="s">
        <v>11</v>
      </c>
      <c r="I2" t="str">
        <f>VLOOKUP(A6,A1:C11,3,FALSE)</f>
        <v>    Admin</v>
      </c>
    </row>
    <row r="3" ht="15.5" spans="1:9">
      <c r="A3" t="s">
        <v>12</v>
      </c>
      <c r="B3" t="s">
        <v>13</v>
      </c>
      <c r="C3" t="s">
        <v>14</v>
      </c>
      <c r="D3">
        <v>48000</v>
      </c>
      <c r="E3" t="s">
        <v>15</v>
      </c>
      <c r="F3" t="s">
        <v>16</v>
      </c>
      <c r="H3" s="3" t="s">
        <v>17</v>
      </c>
      <c r="I3">
        <f>VLOOKUP(A3,A1:D11,4,FALSE)</f>
        <v>48000</v>
      </c>
    </row>
    <row r="4" ht="15.5" spans="1:9">
      <c r="A4" t="s">
        <v>18</v>
      </c>
      <c r="B4" t="s">
        <v>19</v>
      </c>
      <c r="C4" t="s">
        <v>20</v>
      </c>
      <c r="D4">
        <v>52000</v>
      </c>
      <c r="E4" t="s">
        <v>21</v>
      </c>
      <c r="F4" t="s">
        <v>22</v>
      </c>
      <c r="H4" s="3" t="s">
        <v>23</v>
      </c>
      <c r="I4" t="str">
        <f>VLOOKUP(A10,A1:E11,5,FALSE)</f>
        <v>Trichy</v>
      </c>
    </row>
    <row r="5" ht="15.5" spans="1:9">
      <c r="A5" t="s">
        <v>24</v>
      </c>
      <c r="B5" t="s">
        <v>25</v>
      </c>
      <c r="C5" t="s">
        <v>14</v>
      </c>
      <c r="D5">
        <v>45000</v>
      </c>
      <c r="E5" t="s">
        <v>26</v>
      </c>
      <c r="F5" t="s">
        <v>27</v>
      </c>
      <c r="H5" s="3" t="s">
        <v>28</v>
      </c>
      <c r="I5" t="str">
        <f>VLOOKUP(A4,A1:B11,2,FALSE)</f>
        <v>Kumar</v>
      </c>
    </row>
    <row r="6" ht="15.5" spans="1:9">
      <c r="A6" t="s">
        <v>29</v>
      </c>
      <c r="B6" t="s">
        <v>30</v>
      </c>
      <c r="C6" t="s">
        <v>31</v>
      </c>
      <c r="D6">
        <v>30000</v>
      </c>
      <c r="E6" t="s">
        <v>9</v>
      </c>
      <c r="F6" t="s">
        <v>32</v>
      </c>
      <c r="H6" s="3" t="s">
        <v>33</v>
      </c>
      <c r="I6" t="str">
        <f>VLOOKUP(A9,A1:F11,6,FALSE)</f>
        <v>kavya@abc.com</v>
      </c>
    </row>
    <row r="7" ht="15.5" spans="1:9">
      <c r="A7" t="s">
        <v>34</v>
      </c>
      <c r="B7" t="s">
        <v>35</v>
      </c>
      <c r="C7" t="s">
        <v>8</v>
      </c>
      <c r="D7">
        <v>38000</v>
      </c>
      <c r="E7" t="s">
        <v>36</v>
      </c>
      <c r="F7" t="s">
        <v>37</v>
      </c>
      <c r="H7" s="3" t="s">
        <v>38</v>
      </c>
      <c r="I7">
        <f>VLOOKUP(A2,A2:D2,4,FALSE)</f>
        <v>35000</v>
      </c>
    </row>
    <row r="8" ht="15.5" spans="1:9">
      <c r="A8" t="s">
        <v>39</v>
      </c>
      <c r="B8" t="s">
        <v>40</v>
      </c>
      <c r="C8" t="s">
        <v>20</v>
      </c>
      <c r="D8">
        <v>55000</v>
      </c>
      <c r="E8" t="s">
        <v>15</v>
      </c>
      <c r="F8" t="s">
        <v>41</v>
      </c>
      <c r="H8" s="3" t="s">
        <v>42</v>
      </c>
      <c r="I8" t="str">
        <f>VLOOKUP(A11,A11:C11,3,FALSE)</f>
        <v>    HR</v>
      </c>
    </row>
    <row r="9" ht="15.5" spans="1:9">
      <c r="A9" t="s">
        <v>43</v>
      </c>
      <c r="B9" t="s">
        <v>44</v>
      </c>
      <c r="C9" t="s">
        <v>14</v>
      </c>
      <c r="D9">
        <v>47000</v>
      </c>
      <c r="E9" t="s">
        <v>9</v>
      </c>
      <c r="F9" t="s">
        <v>45</v>
      </c>
      <c r="H9" s="3" t="s">
        <v>46</v>
      </c>
      <c r="I9" t="str">
        <f>VLOOKUP(A5,A5:B5,2,FALSE)</f>
        <v>Divya</v>
      </c>
    </row>
    <row r="10" ht="15.5" spans="1:9">
      <c r="A10" t="s">
        <v>47</v>
      </c>
      <c r="B10" t="s">
        <v>48</v>
      </c>
      <c r="C10" t="s">
        <v>31</v>
      </c>
      <c r="D10">
        <v>32000</v>
      </c>
      <c r="E10" t="s">
        <v>21</v>
      </c>
      <c r="F10" t="s">
        <v>49</v>
      </c>
      <c r="H10" s="3" t="s">
        <v>50</v>
      </c>
      <c r="I10" t="str">
        <f>VLOOKUP(A7,A7:E7,5,FALSE)</f>
        <v>Coimbatore</v>
      </c>
    </row>
    <row r="11" ht="15.5" spans="1:9">
      <c r="A11" t="s">
        <v>51</v>
      </c>
      <c r="B11" t="s">
        <v>52</v>
      </c>
      <c r="C11" t="s">
        <v>8</v>
      </c>
      <c r="D11">
        <v>36000</v>
      </c>
      <c r="E11" t="s">
        <v>26</v>
      </c>
      <c r="F11" t="s">
        <v>53</v>
      </c>
      <c r="H11" s="3" t="s">
        <v>54</v>
      </c>
      <c r="I11" t="str">
        <f>VLOOKUP(A10,A10:C10,3,FALSE)</f>
        <v>    Admin</v>
      </c>
    </row>
    <row r="12" ht="15.5" spans="8:9">
      <c r="H12" s="3" t="s">
        <v>55</v>
      </c>
      <c r="I12" t="str">
        <f>VLOOKUP(A8,A8:F8,6,FALSE)</f>
        <v>anand@abc.com</v>
      </c>
    </row>
    <row r="13" ht="15.5" spans="8:9">
      <c r="H13" s="3" t="s">
        <v>56</v>
      </c>
      <c r="I13">
        <f>VLOOKUP(A6,A6:D6,4)</f>
        <v>30000</v>
      </c>
    </row>
    <row r="14" ht="15.5" spans="8:9">
      <c r="H14" s="3" t="s">
        <v>57</v>
      </c>
      <c r="I14" t="str">
        <f>VLOOKUP(A4,A4:F4,5)</f>
        <v>Trichy</v>
      </c>
    </row>
    <row r="15" ht="15.5" spans="8:9">
      <c r="H15" s="3" t="s">
        <v>58</v>
      </c>
      <c r="I15" t="str">
        <f>VLOOKUP(A3,A3:B3,2)</f>
        <v>Priya</v>
      </c>
    </row>
    <row r="16" ht="15.5" spans="8:9">
      <c r="H16" s="3" t="s">
        <v>59</v>
      </c>
      <c r="I16" t="str">
        <f>VLOOKUP(A9,A9:C9,3)</f>
        <v>    IT</v>
      </c>
    </row>
    <row r="17" ht="15.5" spans="8:9">
      <c r="H17" s="3" t="s">
        <v>60</v>
      </c>
      <c r="I17">
        <f>VLOOKUP(A11,A11:D11,4)</f>
        <v>36000</v>
      </c>
    </row>
    <row r="18" ht="15.5" spans="8:9">
      <c r="H18" s="3" t="s">
        <v>61</v>
      </c>
      <c r="I18" t="str">
        <f>VLOOKUP(A5,A5:F5,6)</f>
        <v>divya@abc.com</v>
      </c>
    </row>
    <row r="19" ht="15.5" spans="8:9">
      <c r="H19" s="3" t="s">
        <v>62</v>
      </c>
      <c r="I19" t="str">
        <f>VLOOKUP(A2,A2:E2,5)</f>
        <v>Chennai</v>
      </c>
    </row>
    <row r="20" ht="15.5" spans="8:9">
      <c r="H20" s="3" t="s">
        <v>63</v>
      </c>
      <c r="I20" t="str">
        <f>VLOOKUP(A8,A8:B8,2)</f>
        <v>Anand</v>
      </c>
    </row>
    <row r="21" ht="15.5" spans="8:9">
      <c r="H21" s="3" t="s">
        <v>64</v>
      </c>
      <c r="I21" t="str">
        <f>VLOOKUP(A4,A4:C4,3)</f>
        <v>    Finance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zoomScale="84" zoomScaleNormal="84" workbookViewId="0">
      <selection activeCell="K1" sqref="K1"/>
    </sheetView>
  </sheetViews>
  <sheetFormatPr defaultColWidth="15.4272727272727" defaultRowHeight="14.5"/>
  <cols>
    <col min="1" max="1" width="41.1363636363636" customWidth="1"/>
  </cols>
  <sheetData>
    <row r="1" ht="16" spans="1:11">
      <c r="A1" t="s">
        <v>65</v>
      </c>
      <c r="B1" t="s">
        <v>66</v>
      </c>
      <c r="C1" t="s">
        <v>12</v>
      </c>
      <c r="D1" t="s">
        <v>18</v>
      </c>
      <c r="E1" t="s">
        <v>24</v>
      </c>
      <c r="F1" t="s">
        <v>29</v>
      </c>
      <c r="G1" t="s">
        <v>34</v>
      </c>
      <c r="H1" s="1" t="s">
        <v>67</v>
      </c>
      <c r="K1" t="str">
        <f>HLOOKUP(B1,B1:B6,2)</f>
        <v>    Ravi</v>
      </c>
    </row>
    <row r="2" ht="16" spans="1:11">
      <c r="A2" t="s">
        <v>1</v>
      </c>
      <c r="B2" s="2" t="s">
        <v>68</v>
      </c>
      <c r="C2" s="2" t="s">
        <v>13</v>
      </c>
      <c r="D2" s="2" t="s">
        <v>19</v>
      </c>
      <c r="E2" s="2" t="s">
        <v>25</v>
      </c>
      <c r="F2" s="2" t="s">
        <v>30</v>
      </c>
      <c r="G2" s="2" t="s">
        <v>35</v>
      </c>
      <c r="H2" s="1" t="s">
        <v>69</v>
      </c>
      <c r="K2" t="str">
        <f>HLOOKUP(C1,C1:C6,3)</f>
        <v>IT</v>
      </c>
    </row>
    <row r="3" ht="16" spans="1:11">
      <c r="A3" t="s">
        <v>70</v>
      </c>
      <c r="B3" s="2" t="s">
        <v>8</v>
      </c>
      <c r="C3" s="2" t="s">
        <v>71</v>
      </c>
      <c r="D3" s="2" t="s">
        <v>72</v>
      </c>
      <c r="E3" s="2" t="s">
        <v>71</v>
      </c>
      <c r="F3" s="2" t="s">
        <v>73</v>
      </c>
      <c r="G3" s="2" t="s">
        <v>74</v>
      </c>
      <c r="H3" s="1" t="s">
        <v>75</v>
      </c>
      <c r="K3">
        <f>HLOOKUP(F1,F1:F6,4)</f>
        <v>30000</v>
      </c>
    </row>
    <row r="4" ht="16" spans="1:11">
      <c r="A4" t="s">
        <v>3</v>
      </c>
      <c r="B4" s="2">
        <v>35000</v>
      </c>
      <c r="C4" s="2">
        <v>48000</v>
      </c>
      <c r="D4" s="2">
        <v>52000</v>
      </c>
      <c r="E4" s="2">
        <v>45000</v>
      </c>
      <c r="F4" s="2">
        <v>30000</v>
      </c>
      <c r="G4" s="2">
        <v>38000</v>
      </c>
      <c r="H4" s="1" t="s">
        <v>76</v>
      </c>
      <c r="K4" t="str">
        <f>HLOOKUP(G1,G1:G6,5)</f>
        <v>Coimbatore</v>
      </c>
    </row>
    <row r="5" ht="16" spans="1:11">
      <c r="A5" t="s">
        <v>4</v>
      </c>
      <c r="B5" s="2" t="s">
        <v>77</v>
      </c>
      <c r="C5" s="2" t="s">
        <v>15</v>
      </c>
      <c r="D5" s="2" t="s">
        <v>21</v>
      </c>
      <c r="E5" s="2" t="s">
        <v>26</v>
      </c>
      <c r="F5" s="2" t="s">
        <v>9</v>
      </c>
      <c r="G5" s="2" t="s">
        <v>36</v>
      </c>
      <c r="H5" s="1" t="s">
        <v>78</v>
      </c>
      <c r="K5">
        <f>HLOOKUP(E1,E1:E6,6)</f>
        <v>4.3</v>
      </c>
    </row>
    <row r="6" ht="16" spans="1:11">
      <c r="A6" t="s">
        <v>79</v>
      </c>
      <c r="B6" s="2">
        <v>4.2</v>
      </c>
      <c r="C6" s="2">
        <v>4.6</v>
      </c>
      <c r="D6" s="2">
        <v>4.8</v>
      </c>
      <c r="E6" s="2">
        <v>4.3</v>
      </c>
      <c r="F6" s="2">
        <v>4.1</v>
      </c>
      <c r="G6" s="2">
        <v>4.7</v>
      </c>
      <c r="H6" s="1" t="s">
        <v>80</v>
      </c>
      <c r="K6" t="str">
        <f>HLOOKUP(B1,B1:B6,3)</f>
        <v>    HR</v>
      </c>
    </row>
    <row r="7" ht="16" spans="8:11">
      <c r="H7" s="1" t="s">
        <v>81</v>
      </c>
      <c r="K7">
        <f>HLOOKUP(C1,C1:C6,4)</f>
        <v>48000</v>
      </c>
    </row>
    <row r="8" ht="16" spans="8:11">
      <c r="H8" s="1" t="s">
        <v>82</v>
      </c>
      <c r="K8" t="str">
        <f>HLOOKUP(D1,D1:D6,5)</f>
        <v>Trichy</v>
      </c>
    </row>
    <row r="9" ht="16" spans="8:11">
      <c r="H9" s="1" t="s">
        <v>83</v>
      </c>
      <c r="K9" t="str">
        <f>HLOOKUP(G1,G1:G6,2)</f>
        <v>Meena</v>
      </c>
    </row>
    <row r="10" ht="16" spans="8:11">
      <c r="H10" s="1" t="s">
        <v>84</v>
      </c>
      <c r="K10">
        <f>HLOOKUP(F1,F1:F6,6)</f>
        <v>4.1</v>
      </c>
    </row>
    <row r="11" ht="16" spans="8:11">
      <c r="H11" s="1" t="s">
        <v>85</v>
      </c>
      <c r="K11" t="str">
        <f>HLOOKUP(E1,E1:E6,2)</f>
        <v>Divya</v>
      </c>
    </row>
    <row r="12" ht="16" spans="8:11">
      <c r="H12" s="1" t="s">
        <v>86</v>
      </c>
      <c r="K12" t="str">
        <f>HLOOKUP(B1,B1:B6,5)</f>
        <v> Chennai</v>
      </c>
    </row>
    <row r="13" ht="16" spans="8:11">
      <c r="H13" s="1" t="s">
        <v>87</v>
      </c>
      <c r="K13" t="str">
        <f>HLOOKUP(G1,G1:G6,3)</f>
        <v>HR</v>
      </c>
    </row>
    <row r="14" ht="16" spans="8:11">
      <c r="H14" s="1" t="s">
        <v>88</v>
      </c>
      <c r="K14">
        <f>HLOOKUP(D1,D1:D6,4)</f>
        <v>52000</v>
      </c>
    </row>
    <row r="15" ht="16" spans="8:11">
      <c r="H15" s="1" t="s">
        <v>89</v>
      </c>
      <c r="K15">
        <f>HLOOKUP(C1,C1:C6,6)</f>
        <v>4.6</v>
      </c>
    </row>
    <row r="16" ht="16" spans="8:11">
      <c r="H16" s="1" t="s">
        <v>90</v>
      </c>
      <c r="K16" t="str">
        <f>HLOOKUP(F1,F1:F6,5)</f>
        <v>Chennai</v>
      </c>
    </row>
    <row r="17" ht="16" spans="8:11">
      <c r="H17" s="1" t="s">
        <v>91</v>
      </c>
      <c r="K17" t="str">
        <f>HLOOKUP(E1,E1:E6,3)</f>
        <v>IT</v>
      </c>
    </row>
    <row r="18" ht="16" spans="8:11">
      <c r="H18" s="1" t="s">
        <v>92</v>
      </c>
      <c r="K18" t="str">
        <f>HLOOKUP(F1,F1:F6,2)</f>
        <v>Sathish</v>
      </c>
    </row>
    <row r="19" ht="16" spans="8:11">
      <c r="H19" s="1" t="s">
        <v>93</v>
      </c>
      <c r="K19">
        <f>HLOOKUP(D1,D1:D6,6)</f>
        <v>4.8</v>
      </c>
    </row>
    <row r="20" ht="16" spans="8:11">
      <c r="H20" s="1" t="s">
        <v>94</v>
      </c>
      <c r="K20">
        <f>HLOOKUP(G1,G1:G6,4)</f>
        <v>38000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Vlookup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</dc:creator>
  <cp:lastModifiedBy>ramya</cp:lastModifiedBy>
  <dcterms:created xsi:type="dcterms:W3CDTF">2025-11-20T06:09:00Z</dcterms:created>
  <dcterms:modified xsi:type="dcterms:W3CDTF">2025-11-20T09:27:55Z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D04B493D550544F9993137E1B39F2A36_13</vt:lpwstr>
  </property>
  <property fmtid="{D5CDD505-2E9C-101B-9397-08002B2CF9AE}" pid="3" name="KSOProductBuildVer">
    <vt:lpwstr>2057-12.2.0.23149</vt:lpwstr>
  </property>
</Properties>
</file>